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égende" sheetId="1" state="visible" r:id="rId3"/>
    <sheet name="Résultats" sheetId="2" state="visible" r:id="rId4"/>
    <sheet name="Synthèse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<sst xmlns="http://schemas.openxmlformats.org/spreadsheetml/2006/main" count="61" uniqueCount="53">
  <si>
    <t xml:space="preserve">Benchmark Gemini API vs Gemini Nano — AudioLens</t>
  </si>
  <si>
    <t xml:space="preserve">Ce classeur sert de suivi trimestriel. Voir benchmark/PROTOCOL.md pour la méthodologie complète.</t>
  </si>
  <si>
    <t xml:space="preserve">Onglets :</t>
  </si>
  <si>
    <t xml:space="preserve">  • Résultats : une ligne par (cas de test x moteur x run). C'est ici qu'on saisit/colle les données.</t>
  </si>
  <si>
    <t xml:space="preserve">  • Synthèse : moyennes calculées automatiquement par trimestre et par moteur (ne pas éditer, ce sont des formules).</t>
  </si>
  <si>
    <t xml:space="preserve">Cellules à remplir vous-même : fond jaune pâle, comme l'exemple en ligne 3 de l'onglet 'Résultats'.</t>
  </si>
  <si>
    <t xml:space="preserve">Colonnes calculées automatiquement (fond blanc, formules) : ne pas écraser.</t>
  </si>
  <si>
    <t xml:space="preserve">Pour un run officiel trimestriel : prompt_variant_id = 'baseline' et is_quarterly_baseline = 'oui'.</t>
  </si>
  <si>
    <t xml:space="preserve">Pour un test de prompt ad hoc : donnez-lui un prompt_variant_id distinct et is_quarterly_baseline = 'non'</t>
  </si>
  <si>
    <t xml:space="preserve">  — ces lignes sont exclues des moyennes de l'onglet Synthèse.</t>
  </si>
  <si>
    <t xml:space="preserve">quarter</t>
  </si>
  <si>
    <t xml:space="preserve">run_date</t>
  </si>
  <si>
    <t xml:space="preserve">engine</t>
  </si>
  <si>
    <t xml:space="preserve">case_id</t>
  </si>
  <si>
    <t xml:space="preserve">category</t>
  </si>
  <si>
    <t xml:space="preserve">style</t>
  </si>
  <si>
    <t xml:space="preserve">prompt_variant_id</t>
  </si>
  <si>
    <t xml:space="preserve">is_quarterly_baseline</t>
  </si>
  <si>
    <t xml:space="preserve">model_version</t>
  </si>
  <si>
    <t xml:space="preserve">title</t>
  </si>
  <si>
    <t xml:space="preserve">script_excerpt_or_link</t>
  </si>
  <si>
    <t xml:space="preserve">word_count</t>
  </si>
  <si>
    <t xml:space="preserve">latency_ms</t>
  </si>
  <si>
    <t xml:space="preserve">recognized (oui/non/partiel)</t>
  </si>
  <si>
    <t xml:space="preserve">factual_accuracy (1-5)</t>
  </si>
  <si>
    <t xml:space="preserve">narrative_quality (1-5)</t>
  </si>
  <si>
    <t xml:space="preserve">instruction_adherence (1-5)</t>
  </si>
  <si>
    <t xml:space="preserve">style_match (1-5)</t>
  </si>
  <si>
    <t xml:space="preserve">error</t>
  </si>
  <si>
    <t xml:space="preserve">notes</t>
  </si>
  <si>
    <t xml:space="preserve">2026-Q3</t>
  </si>
  <si>
    <t xml:space="preserve">2026-08-22</t>
  </si>
  <si>
    <t xml:space="preserve">cloud</t>
  </si>
  <si>
    <t xml:space="preserve">EXAMPLE</t>
  </si>
  <si>
    <t xml:space="preserve">monument_celebre</t>
  </si>
  <si>
    <t xml:space="preserve">immersive</t>
  </si>
  <si>
    <t xml:space="preserve">baseline</t>
  </si>
  <si>
    <t xml:space="preserve">non (exemple)</t>
  </si>
  <si>
    <t xml:space="preserve">gemini-3.5-flash</t>
  </si>
  <si>
    <t xml:space="preserve">L'élégance néoclassique de Notre-Dame</t>
  </si>
  <si>
    <t xml:space="preserve">Au XIXe siècle, alors que Vincennes...</t>
  </si>
  <si>
    <t xml:space="preserve">oui</t>
  </si>
  <si>
    <t xml:space="preserve">Ligne d'exemple — à supprimer avant le premier vrai run</t>
  </si>
  <si>
    <t xml:space="preserve">Synthèse par trimestre et par moteur (calculée automatiquement — ne pas éditer les formules)</t>
  </si>
  <si>
    <t xml:space="preserve">n_runs (hors variantes)</t>
  </si>
  <si>
    <t xml:space="preserve">avg_factual_accuracy</t>
  </si>
  <si>
    <t xml:space="preserve">avg_narrative_quality</t>
  </si>
  <si>
    <t xml:space="preserve">avg_instruction_adherence</t>
  </si>
  <si>
    <t xml:space="preserve">avg_style_match</t>
  </si>
  <si>
    <t xml:space="preserve">avg_word_count</t>
  </si>
  <si>
    <t xml:space="preserve">avg_latency_ms</t>
  </si>
  <si>
    <t xml:space="preserve">nano</t>
  </si>
  <si>
    <t xml:space="preserve">2026-Q4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</si>
</sst>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sz val="11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2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6B4EFF"/>
        <bgColor rgb="FF666699"/>
      </patternFill>
    </fill>
    <fill>
      <patternFill patternType="solid">
        <fgColor rgb="FFFFF9C4"/>
        <bgColor rgb="FFFFFF9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9C4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6B4E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/>
    </row>
    <row r="3" customFormat="false" ht="15" hidden="false" customHeight="false" outlineLevel="0" collapsed="false">
      <c r="A3" s="2" t="s">
        <v>1</v>
      </c>
    </row>
    <row r="4" customFormat="false" ht="15" hidden="false" customHeight="false" outlineLevel="0" collapsed="false">
      <c r="A4" s="2"/>
    </row>
    <row r="5" customFormat="false" ht="15" hidden="false" customHeight="false" outlineLevel="0" collapsed="false">
      <c r="A5" s="2" t="s">
        <v>2</v>
      </c>
    </row>
    <row r="6" customFormat="false" ht="15" hidden="false" customHeight="false" outlineLevel="0" collapsed="false">
      <c r="A6" s="2" t="s">
        <v>3</v>
      </c>
    </row>
    <row r="7" customFormat="false" ht="15" hidden="false" customHeight="false" outlineLevel="0" collapsed="false">
      <c r="A7" s="2" t="s">
        <v>4</v>
      </c>
    </row>
    <row r="8" customFormat="false" ht="15" hidden="false" customHeight="false" outlineLevel="0" collapsed="false">
      <c r="A8" s="2"/>
    </row>
    <row r="9" customFormat="false" ht="15" hidden="false" customHeight="false" outlineLevel="0" collapsed="false">
      <c r="A9" s="2" t="s">
        <v>5</v>
      </c>
    </row>
    <row r="10" customFormat="false" ht="15" hidden="false" customHeight="false" outlineLevel="0" collapsed="false">
      <c r="A10" s="2" t="s">
        <v>6</v>
      </c>
    </row>
    <row r="11" customFormat="false" ht="15" hidden="false" customHeight="false" outlineLevel="0" collapsed="false">
      <c r="A11" s="2"/>
    </row>
    <row r="12" customFormat="false" ht="15" hidden="false" customHeight="false" outlineLevel="0" collapsed="false">
      <c r="A12" s="2" t="s">
        <v>7</v>
      </c>
    </row>
    <row r="13" customFormat="false" ht="15" hidden="false" customHeight="false" outlineLevel="0" collapsed="false">
      <c r="A13" s="2" t="s">
        <v>8</v>
      </c>
    </row>
    <row r="14" customFormat="false" ht="15" hidden="false" customHeight="false" outlineLevel="0" collapsed="false">
      <c r="A14" s="2" t="s">
        <v>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2"/>
    <col collapsed="false" customWidth="true" hidden="false" outlineLevel="0" max="3" min="3" style="0" width="8"/>
    <col collapsed="false" customWidth="true" hidden="false" outlineLevel="0" max="4" min="4" style="0" width="10"/>
    <col collapsed="false" customWidth="true" hidden="false" outlineLevel="0" max="5" min="5" style="0" width="16"/>
    <col collapsed="false" customWidth="true" hidden="false" outlineLevel="0" max="6" min="6" style="0" width="10"/>
    <col collapsed="false" customWidth="true" hidden="false" outlineLevel="0" max="7" min="7" style="0" width="14"/>
    <col collapsed="false" customWidth="true" hidden="false" outlineLevel="0" max="9" min="8" style="0" width="16"/>
    <col collapsed="false" customWidth="true" hidden="false" outlineLevel="0" max="10" min="10" style="0" width="22"/>
    <col collapsed="false" customWidth="true" hidden="false" outlineLevel="0" max="11" min="11" style="0" width="30"/>
    <col collapsed="false" customWidth="true" hidden="false" outlineLevel="0" max="13" min="12" style="0" width="10"/>
    <col collapsed="false" customWidth="true" hidden="false" outlineLevel="0" max="14" min="14" style="0" width="16"/>
    <col collapsed="false" customWidth="true" hidden="false" outlineLevel="0" max="16" min="15" style="0" width="14"/>
    <col collapsed="false" customWidth="true" hidden="false" outlineLevel="0" max="17" min="17" style="0" width="16"/>
    <col collapsed="false" customWidth="true" hidden="false" outlineLevel="0" max="18" min="18" style="0" width="12"/>
    <col collapsed="false" customWidth="true" hidden="false" outlineLevel="0" max="19" min="19" style="0" width="20"/>
    <col collapsed="false" customWidth="true" hidden="false" outlineLevel="0" max="20" min="20" style="0" width="24"/>
  </cols>
  <sheetData>
    <row r="1" customFormat="false" ht="39.55" hidden="false" customHeight="false" outlineLevel="0" collapsed="false">
      <c r="A1" s="3" t="s">
        <v>10</v>
      </c>
      <c r="B1" s="3" t="s">
        <v>11</v>
      </c>
      <c r="C1" s="3" t="s">
        <v>12</v>
      </c>
      <c r="D1" s="3" t="s">
        <v>13</v>
      </c>
      <c r="E1" s="3" t="s">
        <v>14</v>
      </c>
      <c r="F1" s="3" t="s">
        <v>15</v>
      </c>
      <c r="G1" s="3" t="s">
        <v>16</v>
      </c>
      <c r="H1" s="3" t="s">
        <v>17</v>
      </c>
      <c r="I1" s="3" t="s">
        <v>18</v>
      </c>
      <c r="J1" s="3" t="s">
        <v>19</v>
      </c>
      <c r="K1" s="3" t="s">
        <v>20</v>
      </c>
      <c r="L1" s="3" t="s">
        <v>21</v>
      </c>
      <c r="M1" s="3" t="s">
        <v>22</v>
      </c>
      <c r="N1" s="3" t="s">
        <v>23</v>
      </c>
      <c r="O1" s="3" t="s">
        <v>24</v>
      </c>
      <c r="P1" s="3" t="s">
        <v>25</v>
      </c>
      <c r="Q1" s="3" t="s">
        <v>26</v>
      </c>
      <c r="R1" s="3" t="s">
        <v>27</v>
      </c>
      <c r="S1" s="3" t="s">
        <v>28</v>
      </c>
      <c r="T1" s="3" t="s">
        <v>29</v>
      </c>
    </row>
    <row r="2" customFormat="false" ht="15" hidden="false" customHeight="false" outlineLevel="0" collapsed="false">
      <c r="A2" s="4" t="s">
        <v>30</v>
      </c>
      <c r="B2" s="4" t="s">
        <v>31</v>
      </c>
      <c r="C2" s="4" t="s">
        <v>32</v>
      </c>
      <c r="D2" s="4" t="s">
        <v>33</v>
      </c>
      <c r="E2" s="4" t="s">
        <v>34</v>
      </c>
      <c r="F2" s="4" t="s">
        <v>35</v>
      </c>
      <c r="G2" s="4" t="s">
        <v>36</v>
      </c>
      <c r="H2" s="4" t="s">
        <v>37</v>
      </c>
      <c r="I2" s="4" t="s">
        <v>38</v>
      </c>
      <c r="J2" s="4" t="s">
        <v>39</v>
      </c>
      <c r="K2" s="4" t="s">
        <v>40</v>
      </c>
      <c r="L2" s="4" t="n">
        <v>342</v>
      </c>
      <c r="M2" s="4" t="n">
        <v>1850</v>
      </c>
      <c r="N2" s="4" t="s">
        <v>41</v>
      </c>
      <c r="O2" s="4" t="n">
        <v>4</v>
      </c>
      <c r="P2" s="4" t="n">
        <v>4</v>
      </c>
      <c r="Q2" s="4" t="n">
        <v>5</v>
      </c>
      <c r="R2" s="4" t="n">
        <v>4</v>
      </c>
      <c r="S2" s="4"/>
      <c r="T2" s="4" t="s">
        <v>42</v>
      </c>
    </row>
    <row r="3" customFormat="false" ht="15" hidden="false" customHeight="false" outlineLevel="0" collapsed="false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5"/>
      <c r="M3" s="5"/>
      <c r="N3" s="4"/>
      <c r="O3" s="4"/>
      <c r="P3" s="4"/>
      <c r="Q3" s="4"/>
      <c r="R3" s="4"/>
      <c r="S3" s="4"/>
      <c r="T3" s="4"/>
    </row>
    <row r="4" customFormat="false" ht="15" hidden="false" customHeight="false" outlineLevel="0" collapsed="false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5"/>
      <c r="M4" s="5"/>
      <c r="N4" s="4"/>
      <c r="O4" s="4"/>
      <c r="P4" s="4"/>
      <c r="Q4" s="4"/>
      <c r="R4" s="4"/>
      <c r="S4" s="4"/>
      <c r="T4" s="4"/>
    </row>
    <row r="5" customFormat="false" ht="15" hidden="false" customHeight="false" outlineLevel="0" collapsed="false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5"/>
      <c r="M5" s="5"/>
      <c r="N5" s="4"/>
      <c r="O5" s="4"/>
      <c r="P5" s="4"/>
      <c r="Q5" s="4"/>
      <c r="R5" s="4"/>
      <c r="S5" s="4"/>
      <c r="T5" s="4"/>
    </row>
    <row r="6" customFormat="false" ht="15" hidden="false" customHeight="false" outlineLevel="0" collapsed="false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5"/>
      <c r="M6" s="5"/>
      <c r="N6" s="4"/>
      <c r="O6" s="4"/>
      <c r="P6" s="4"/>
      <c r="Q6" s="4"/>
      <c r="R6" s="4"/>
      <c r="S6" s="4"/>
      <c r="T6" s="4"/>
    </row>
    <row r="7" customFormat="false" ht="15" hidden="false" customHeight="false" outlineLevel="0" collapsed="false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5"/>
      <c r="M7" s="5"/>
      <c r="N7" s="4"/>
      <c r="O7" s="4"/>
      <c r="P7" s="4"/>
      <c r="Q7" s="4"/>
      <c r="R7" s="4"/>
      <c r="S7" s="4"/>
      <c r="T7" s="4"/>
    </row>
    <row r="8" customFormat="false" ht="15" hidden="false" customHeight="false" outlineLevel="0" collapsed="false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5"/>
      <c r="M8" s="5"/>
      <c r="N8" s="4"/>
      <c r="O8" s="4"/>
      <c r="P8" s="4"/>
      <c r="Q8" s="4"/>
      <c r="R8" s="4"/>
      <c r="S8" s="4"/>
      <c r="T8" s="4"/>
    </row>
    <row r="9" customFormat="false" ht="15" hidden="false" customHeight="false" outlineLevel="0" collapsed="false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5"/>
      <c r="M9" s="5"/>
      <c r="N9" s="4"/>
      <c r="O9" s="4"/>
      <c r="P9" s="4"/>
      <c r="Q9" s="4"/>
      <c r="R9" s="4"/>
      <c r="S9" s="4"/>
      <c r="T9" s="4"/>
    </row>
    <row r="10" customFormat="false" ht="15" hidden="false" customHeight="false" outlineLevel="0" collapsed="false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5"/>
      <c r="M10" s="5"/>
      <c r="N10" s="4"/>
      <c r="O10" s="4"/>
      <c r="P10" s="4"/>
      <c r="Q10" s="4"/>
      <c r="R10" s="4"/>
      <c r="S10" s="4"/>
      <c r="T10" s="4"/>
    </row>
    <row r="11" customFormat="false" ht="15" hidden="false" customHeight="false" outlineLevel="0" collapsed="false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5"/>
      <c r="M11" s="5"/>
      <c r="N11" s="4"/>
      <c r="O11" s="4"/>
      <c r="P11" s="4"/>
      <c r="Q11" s="4"/>
      <c r="R11" s="4"/>
      <c r="S11" s="4"/>
      <c r="T11" s="4"/>
    </row>
    <row r="12" customFormat="false" ht="15" hidden="false" customHeight="false" outlineLevel="0" collapsed="false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5"/>
      <c r="M12" s="5"/>
      <c r="N12" s="4"/>
      <c r="O12" s="4"/>
      <c r="P12" s="4"/>
      <c r="Q12" s="4"/>
      <c r="R12" s="4"/>
      <c r="S12" s="4"/>
      <c r="T12" s="4"/>
    </row>
    <row r="13" customFormat="false" ht="15" hidden="false" customHeight="false" outlineLevel="0" collapsed="false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5"/>
      <c r="M13" s="5"/>
      <c r="N13" s="4"/>
      <c r="O13" s="4"/>
      <c r="P13" s="4"/>
      <c r="Q13" s="4"/>
      <c r="R13" s="4"/>
      <c r="S13" s="4"/>
      <c r="T13" s="4"/>
    </row>
    <row r="14" customFormat="false" ht="15" hidden="false" customHeight="false" outlineLevel="0" collapsed="false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5"/>
      <c r="M14" s="5"/>
      <c r="N14" s="4"/>
      <c r="O14" s="4"/>
      <c r="P14" s="4"/>
      <c r="Q14" s="4"/>
      <c r="R14" s="4"/>
      <c r="S14" s="4"/>
      <c r="T14" s="4"/>
    </row>
    <row r="15" customFormat="false" ht="15" hidden="false" customHeight="false" outlineLevel="0" collapsed="false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5"/>
      <c r="M15" s="5"/>
      <c r="N15" s="4"/>
      <c r="O15" s="4"/>
      <c r="P15" s="4"/>
      <c r="Q15" s="4"/>
      <c r="R15" s="4"/>
      <c r="S15" s="4"/>
      <c r="T15" s="4"/>
    </row>
    <row r="16" customFormat="false" ht="15" hidden="false" customHeight="false" outlineLevel="0" collapsed="false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5"/>
      <c r="M16" s="5"/>
      <c r="N16" s="4"/>
      <c r="O16" s="4"/>
      <c r="P16" s="4"/>
      <c r="Q16" s="4"/>
      <c r="R16" s="4"/>
      <c r="S16" s="4"/>
      <c r="T16" s="4"/>
    </row>
    <row r="17" customFormat="false" ht="15" hidden="false" customHeight="false" outlineLevel="0" collapsed="false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5"/>
      <c r="M17" s="5"/>
      <c r="N17" s="4"/>
      <c r="O17" s="4"/>
      <c r="P17" s="4"/>
      <c r="Q17" s="4"/>
      <c r="R17" s="4"/>
      <c r="S17" s="4"/>
      <c r="T17" s="4"/>
    </row>
    <row r="18" customFormat="false" ht="15" hidden="false" customHeight="false" outlineLevel="0" collapsed="false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5"/>
      <c r="M18" s="5"/>
      <c r="N18" s="4"/>
      <c r="O18" s="4"/>
      <c r="P18" s="4"/>
      <c r="Q18" s="4"/>
      <c r="R18" s="4"/>
      <c r="S18" s="4"/>
      <c r="T18" s="4"/>
    </row>
    <row r="19" customFormat="false" ht="15" hidden="false" customHeight="false" outlineLevel="0" collapsed="false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5"/>
      <c r="M19" s="5"/>
      <c r="N19" s="4"/>
      <c r="O19" s="4"/>
      <c r="P19" s="4"/>
      <c r="Q19" s="4"/>
      <c r="R19" s="4"/>
      <c r="S19" s="4"/>
      <c r="T19" s="4"/>
    </row>
    <row r="20" customFormat="false" ht="15" hidden="false" customHeight="false" outlineLevel="0" collapsed="false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5"/>
      <c r="M20" s="5"/>
      <c r="N20" s="4"/>
      <c r="O20" s="4"/>
      <c r="P20" s="4"/>
      <c r="Q20" s="4"/>
      <c r="R20" s="4"/>
      <c r="S20" s="4"/>
      <c r="T20" s="4"/>
    </row>
    <row r="21" customFormat="false" ht="15" hidden="false" customHeight="false" outlineLevel="0" collapsed="false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5"/>
      <c r="M21" s="5"/>
      <c r="N21" s="4"/>
      <c r="O21" s="4"/>
      <c r="P21" s="4"/>
      <c r="Q21" s="4"/>
      <c r="R21" s="4"/>
      <c r="S21" s="4"/>
      <c r="T21" s="4"/>
    </row>
    <row r="22" customFormat="false" ht="15" hidden="false" customHeight="false" outlineLevel="0" collapsed="false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5"/>
      <c r="M22" s="5"/>
      <c r="N22" s="4"/>
      <c r="O22" s="4"/>
      <c r="P22" s="4"/>
      <c r="Q22" s="4"/>
      <c r="R22" s="4"/>
      <c r="S22" s="4"/>
      <c r="T22" s="4"/>
    </row>
    <row r="23" customFormat="false" ht="15" hidden="false" customHeight="false" outlineLevel="0" collapsed="false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5"/>
      <c r="M23" s="5"/>
      <c r="N23" s="4"/>
      <c r="O23" s="4"/>
      <c r="P23" s="4"/>
      <c r="Q23" s="4"/>
      <c r="R23" s="4"/>
      <c r="S23" s="4"/>
      <c r="T23" s="4"/>
    </row>
    <row r="24" customFormat="false" ht="15" hidden="false" customHeight="false" outlineLevel="0" collapsed="false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5"/>
      <c r="M24" s="5"/>
      <c r="N24" s="4"/>
      <c r="O24" s="4"/>
      <c r="P24" s="4"/>
      <c r="Q24" s="4"/>
      <c r="R24" s="4"/>
      <c r="S24" s="4"/>
      <c r="T24" s="4"/>
    </row>
    <row r="25" customFormat="false" ht="15" hidden="false" customHeight="false" outlineLevel="0" collapsed="false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5"/>
      <c r="M25" s="5"/>
      <c r="N25" s="4"/>
      <c r="O25" s="4"/>
      <c r="P25" s="4"/>
      <c r="Q25" s="4"/>
      <c r="R25" s="4"/>
      <c r="S25" s="4"/>
      <c r="T25" s="4"/>
    </row>
    <row r="26" customFormat="false" ht="15" hidden="false" customHeight="false" outlineLevel="0" collapsed="false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5"/>
      <c r="M26" s="5"/>
      <c r="N26" s="4"/>
      <c r="O26" s="4"/>
      <c r="P26" s="4"/>
      <c r="Q26" s="4"/>
      <c r="R26" s="4"/>
      <c r="S26" s="4"/>
      <c r="T26" s="4"/>
    </row>
    <row r="27" customFormat="false" ht="15" hidden="false" customHeight="false" outlineLevel="0" collapsed="false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5"/>
      <c r="M27" s="5"/>
      <c r="N27" s="4"/>
      <c r="O27" s="4"/>
      <c r="P27" s="4"/>
      <c r="Q27" s="4"/>
      <c r="R27" s="4"/>
      <c r="S27" s="4"/>
      <c r="T27" s="4"/>
    </row>
    <row r="28" customFormat="false" ht="15" hidden="false" customHeight="false" outlineLevel="0" collapsed="false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5"/>
      <c r="M28" s="5"/>
      <c r="N28" s="4"/>
      <c r="O28" s="4"/>
      <c r="P28" s="4"/>
      <c r="Q28" s="4"/>
      <c r="R28" s="4"/>
      <c r="S28" s="4"/>
      <c r="T28" s="4"/>
    </row>
    <row r="29" customFormat="false" ht="15" hidden="false" customHeight="false" outlineLevel="0" collapsed="false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5"/>
      <c r="M29" s="5"/>
      <c r="N29" s="4"/>
      <c r="O29" s="4"/>
      <c r="P29" s="4"/>
      <c r="Q29" s="4"/>
      <c r="R29" s="4"/>
      <c r="S29" s="4"/>
      <c r="T29" s="4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0"/>
    <col collapsed="false" customWidth="true" hidden="false" outlineLevel="0" max="5" min="3" style="0" width="18"/>
    <col collapsed="false" customWidth="true" hidden="false" outlineLevel="0" max="6" min="6" style="0" width="20"/>
    <col collapsed="false" customWidth="true" hidden="false" outlineLevel="0" max="7" min="7" style="0" width="16"/>
    <col collapsed="false" customWidth="true" hidden="false" outlineLevel="0" max="9" min="8" style="0" width="14"/>
  </cols>
  <sheetData>
    <row r="1" customFormat="false" ht="15" hidden="false" customHeight="false" outlineLevel="0" collapsed="false">
      <c r="A1" s="6" t="s">
        <v>43</v>
      </c>
    </row>
    <row r="3" customFormat="false" ht="26.85" hidden="false" customHeight="false" outlineLevel="0" collapsed="false">
      <c r="A3" s="3" t="s">
        <v>10</v>
      </c>
      <c r="B3" s="3" t="s">
        <v>12</v>
      </c>
      <c r="C3" s="3" t="s">
        <v>44</v>
      </c>
      <c r="D3" s="3" t="s">
        <v>45</v>
      </c>
      <c r="E3" s="3" t="s">
        <v>46</v>
      </c>
      <c r="F3" s="3" t="s">
        <v>47</v>
      </c>
      <c r="G3" s="3" t="s">
        <v>48</v>
      </c>
      <c r="H3" s="3" t="s">
        <v>49</v>
      </c>
      <c r="I3" s="3" t="s">
        <v>50</v>
      </c>
    </row>
    <row r="4" customFormat="false" ht="15" hidden="false" customHeight="false" outlineLevel="0" collapsed="false">
      <c r="A4" s="5" t="s">
        <v>30</v>
      </c>
      <c r="B4" s="5" t="s">
        <v>32</v>
      </c>
      <c r="C4" s="5" t="n">
        <f aca="false">COUNTIFS(Résultats!$A$2:$A$1000,$A4,Résultats!$C$2:$C$1000,$B4,Résultats!$H$2:$H$1000,"oui")</f>
        <v>0</v>
      </c>
      <c r="D4" s="7" t="str">
        <f aca="false">IFERROR(AVERAGEIFS(Résultats!$O$2:$O$1000,Résultats!$A$2:$A$1000,$A4,Résultats!$C$2:$C$1000,$B4,Résultats!$H$2:$H$1000,"oui"),"")</f>
        <v/>
      </c>
      <c r="E4" s="7" t="str">
        <f aca="false">IFERROR(AVERAGEIFS(Résultats!$P$2:$P$1000,Résultats!$A$2:$A$1000,$A4,Résultats!$C$2:$C$1000,$B4,Résultats!$H$2:$H$1000,"oui"),"")</f>
        <v/>
      </c>
      <c r="F4" s="7" t="str">
        <f aca="false">IFERROR(AVERAGEIFS(Résultats!$Q$2:$Q$1000,Résultats!$A$2:$A$1000,$A4,Résultats!$C$2:$C$1000,$B4,Résultats!$H$2:$H$1000,"oui"),"")</f>
        <v/>
      </c>
      <c r="G4" s="7" t="str">
        <f aca="false">IFERROR(AVERAGEIFS(Résultats!$R$2:$R$1000,Résultats!$A$2:$A$1000,$A4,Résultats!$C$2:$C$1000,$B4,Résultats!$H$2:$H$1000,"oui"),"")</f>
        <v/>
      </c>
      <c r="H4" s="7" t="str">
        <f aca="false">IFERROR(AVERAGEIFS(Résultats!$L$2:$L$1000,Résultats!$A$2:$A$1000,$A4,Résultats!$C$2:$C$1000,$B4,Résultats!$H$2:$H$1000,"oui"),"")</f>
        <v/>
      </c>
      <c r="I4" s="7" t="str">
        <f aca="false">IFERROR(AVERAGEIFS(Résultats!$M$2:$M$1000,Résultats!$A$2:$A$1000,$A4,Résultats!$C$2:$C$1000,$B4,Résultats!$H$2:$H$1000,"oui"),"")</f>
        <v/>
      </c>
    </row>
    <row r="5" customFormat="false" ht="15" hidden="false" customHeight="false" outlineLevel="0" collapsed="false">
      <c r="A5" s="5" t="s">
        <v>30</v>
      </c>
      <c r="B5" s="5" t="s">
        <v>51</v>
      </c>
      <c r="C5" s="5" t="n">
        <f aca="false">COUNTIFS(Résultats!$A$2:$A$1000,$A5,Résultats!$C$2:$C$1000,$B5,Résultats!$H$2:$H$1000,"oui")</f>
        <v>0</v>
      </c>
      <c r="D5" s="7" t="str">
        <f aca="false">IFERROR(AVERAGEIFS(Résultats!$O$2:$O$1000,Résultats!$A$2:$A$1000,$A5,Résultats!$C$2:$C$1000,$B5,Résultats!$H$2:$H$1000,"oui"),"")</f>
        <v/>
      </c>
      <c r="E5" s="7" t="str">
        <f aca="false">IFERROR(AVERAGEIFS(Résultats!$P$2:$P$1000,Résultats!$A$2:$A$1000,$A5,Résultats!$C$2:$C$1000,$B5,Résultats!$H$2:$H$1000,"oui"),"")</f>
        <v/>
      </c>
      <c r="F5" s="7" t="str">
        <f aca="false">IFERROR(AVERAGEIFS(Résultats!$Q$2:$Q$1000,Résultats!$A$2:$A$1000,$A5,Résultats!$C$2:$C$1000,$B5,Résultats!$H$2:$H$1000,"oui"),"")</f>
        <v/>
      </c>
      <c r="G5" s="7" t="str">
        <f aca="false">IFERROR(AVERAGEIFS(Résultats!$R$2:$R$1000,Résultats!$A$2:$A$1000,$A5,Résultats!$C$2:$C$1000,$B5,Résultats!$H$2:$H$1000,"oui"),"")</f>
        <v/>
      </c>
      <c r="H5" s="7" t="str">
        <f aca="false">IFERROR(AVERAGEIFS(Résultats!$L$2:$L$1000,Résultats!$A$2:$A$1000,$A5,Résultats!$C$2:$C$1000,$B5,Résultats!$H$2:$H$1000,"oui"),"")</f>
        <v/>
      </c>
      <c r="I5" s="7" t="str">
        <f aca="false">IFERROR(AVERAGEIFS(Résultats!$M$2:$M$1000,Résultats!$A$2:$A$1000,$A5,Résultats!$C$2:$C$1000,$B5,Résultats!$H$2:$H$1000,"oui"),"")</f>
        <v/>
      </c>
    </row>
    <row r="6" customFormat="false" ht="15" hidden="false" customHeight="false" outlineLevel="0" collapsed="false">
      <c r="A6" s="5" t="s">
        <v>52</v>
      </c>
      <c r="B6" s="5" t="s">
        <v>32</v>
      </c>
      <c r="C6" s="5" t="n">
        <f aca="false">COUNTIFS(Résultats!$A$2:$A$1000,$A6,Résultats!$C$2:$C$1000,$B6,Résultats!$H$2:$H$1000,"oui")</f>
        <v>0</v>
      </c>
      <c r="D6" s="7" t="str">
        <f aca="false">IFERROR(AVERAGEIFS(Résultats!$O$2:$O$1000,Résultats!$A$2:$A$1000,$A6,Résultats!$C$2:$C$1000,$B6,Résultats!$H$2:$H$1000,"oui"),"")</f>
        <v/>
      </c>
      <c r="E6" s="7" t="str">
        <f aca="false">IFERROR(AVERAGEIFS(Résultats!$P$2:$P$1000,Résultats!$A$2:$A$1000,$A6,Résultats!$C$2:$C$1000,$B6,Résultats!$H$2:$H$1000,"oui"),"")</f>
        <v/>
      </c>
      <c r="F6" s="7" t="str">
        <f aca="false">IFERROR(AVERAGEIFS(Résultats!$Q$2:$Q$1000,Résultats!$A$2:$A$1000,$A6,Résultats!$C$2:$C$1000,$B6,Résultats!$H$2:$H$1000,"oui"),"")</f>
        <v/>
      </c>
      <c r="G6" s="7" t="str">
        <f aca="false">IFERROR(AVERAGEIFS(Résultats!$R$2:$R$1000,Résultats!$A$2:$A$1000,$A6,Résultats!$C$2:$C$1000,$B6,Résultats!$H$2:$H$1000,"oui"),"")</f>
        <v/>
      </c>
      <c r="H6" s="7" t="str">
        <f aca="false">IFERROR(AVERAGEIFS(Résultats!$L$2:$L$1000,Résultats!$A$2:$A$1000,$A6,Résultats!$C$2:$C$1000,$B6,Résultats!$H$2:$H$1000,"oui"),"")</f>
        <v/>
      </c>
      <c r="I6" s="7" t="str">
        <f aca="false">IFERROR(AVERAGEIFS(Résultats!$M$2:$M$1000,Résultats!$A$2:$A$1000,$A6,Résultats!$C$2:$C$1000,$B6,Résultats!$H$2:$H$1000,"oui"),"")</f>
        <v/>
      </c>
    </row>
    <row r="7" customFormat="false" ht="15" hidden="false" customHeight="false" outlineLevel="0" collapsed="false">
      <c r="A7" s="5" t="s">
        <v>52</v>
      </c>
      <c r="B7" s="5" t="s">
        <v>51</v>
      </c>
      <c r="C7" s="5" t="n">
        <f aca="false">COUNTIFS(Résultats!$A$2:$A$1000,$A7,Résultats!$C$2:$C$1000,$B7,Résultats!$H$2:$H$1000,"oui")</f>
        <v>0</v>
      </c>
      <c r="D7" s="7" t="str">
        <f aca="false">IFERROR(AVERAGEIFS(Résultats!$O$2:$O$1000,Résultats!$A$2:$A$1000,$A7,Résultats!$C$2:$C$1000,$B7,Résultats!$H$2:$H$1000,"oui"),"")</f>
        <v/>
      </c>
      <c r="E7" s="7" t="str">
        <f aca="false">IFERROR(AVERAGEIFS(Résultats!$P$2:$P$1000,Résultats!$A$2:$A$1000,$A7,Résultats!$C$2:$C$1000,$B7,Résultats!$H$2:$H$1000,"oui"),"")</f>
        <v/>
      </c>
      <c r="F7" s="7" t="str">
        <f aca="false">IFERROR(AVERAGEIFS(Résultats!$Q$2:$Q$1000,Résultats!$A$2:$A$1000,$A7,Résultats!$C$2:$C$1000,$B7,Résultats!$H$2:$H$1000,"oui"),"")</f>
        <v/>
      </c>
      <c r="G7" s="7" t="str">
        <f aca="false">IFERROR(AVERAGEIFS(Résultats!$R$2:$R$1000,Résultats!$A$2:$A$1000,$A7,Résultats!$C$2:$C$1000,$B7,Résultats!$H$2:$H$1000,"oui"),"")</f>
        <v/>
      </c>
      <c r="H7" s="7" t="str">
        <f aca="false">IFERROR(AVERAGEIFS(Résultats!$L$2:$L$1000,Résultats!$A$2:$A$1000,$A7,Résultats!$C$2:$C$1000,$B7,Résultats!$H$2:$H$1000,"oui"),"")</f>
        <v/>
      </c>
      <c r="I7" s="7" t="str">
        <f aca="false">IFERROR(AVERAGEIFS(Résultats!$M$2:$M$1000,Résultats!$A$2:$A$1000,$A7,Résultats!$C$2:$C$1000,$B7,Résultats!$H$2:$H$1000,"oui"),"")</f>
        <v/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2026-08-22T20:06:33Z</dcterms:created>
  <dc:creator>openpyxl</dc:creator>
  <dc:description/>
  <dc:language>en-US</dc:language>
  <cp:lastModifiedBy/>
  <dcterms:modified xsi:type="dcterms:W3CDTF">2026-08-22T20:06:33Z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